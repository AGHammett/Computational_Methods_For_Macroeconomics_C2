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kmarin/Documents/Econ Year 3/EconPython/Computational Methods/Course Work 2/"/>
    </mc:Choice>
  </mc:AlternateContent>
  <xr:revisionPtr revIDLastSave="0" documentId="8_{CD24ECDC-C9E2-D14C-B484-A31A1265843E}" xr6:coauthVersionLast="47" xr6:coauthVersionMax="47" xr10:uidLastSave="{00000000-0000-0000-0000-000000000000}"/>
  <bookViews>
    <workbookView xWindow="360" yWindow="500" windowWidth="28040" windowHeight="16420" xr2:uid="{9B869865-D08D-0E4E-B076-906FA53D2630}"/>
  </bookViews>
  <sheets>
    <sheet name="Sheet1" sheetId="1" r:id="rId1"/>
  </sheets>
  <definedNames>
    <definedName name="_xlchart.v1.0" hidden="1">Sheet1!$A$7:$A$9</definedName>
    <definedName name="_xlchart.v1.1" hidden="1">Sheet1!$B$1</definedName>
    <definedName name="_xlchart.v1.2" hidden="1">Sheet1!$B$7:$B$9</definedName>
    <definedName name="_xlchart.v1.3" hidden="1">Sheet1!$C$1</definedName>
    <definedName name="_xlchart.v1.4" hidden="1">Sheet1!$C$7:$C$9</definedName>
    <definedName name="_xlchart.v1.5" hidden="1">Sheet1!$D$1</definedName>
    <definedName name="_xlchart.v1.6" hidden="1">Sheet1!$D$7:$D$9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5" i="1" l="1"/>
  <c r="G16" i="1"/>
  <c r="G17" i="1"/>
  <c r="G18" i="1"/>
  <c r="G19" i="1"/>
  <c r="G20" i="1"/>
  <c r="G14" i="1"/>
  <c r="E15" i="1"/>
  <c r="C15" i="1"/>
  <c r="C16" i="1"/>
  <c r="C17" i="1"/>
  <c r="C18" i="1"/>
  <c r="C19" i="1"/>
  <c r="C20" i="1"/>
  <c r="C14" i="1"/>
  <c r="E14" i="1"/>
  <c r="E17" i="1"/>
  <c r="E18" i="1"/>
  <c r="E19" i="1"/>
  <c r="E20" i="1"/>
  <c r="E16" i="1"/>
</calcChain>
</file>

<file path=xl/sharedStrings.xml><?xml version="1.0" encoding="utf-8"?>
<sst xmlns="http://schemas.openxmlformats.org/spreadsheetml/2006/main" count="11" uniqueCount="7">
  <si>
    <t>Year</t>
  </si>
  <si>
    <t>AMD</t>
  </si>
  <si>
    <t>INTC</t>
  </si>
  <si>
    <t>NVDA</t>
  </si>
  <si>
    <t>AMD Index</t>
  </si>
  <si>
    <t>INTC Index</t>
  </si>
  <si>
    <t>NVDA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</si>
</sst>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Relative Market Capitalisation Growth (2018 = 100, Log Scale)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Sheet1!$C$12</c:f>
              <c:strCache>
                <c:ptCount val="1"/>
                <c:pt idx="0">
                  <c:v>AMD 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Sheet1!$A$13:$A$20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Sheet1!$C$13:$C$20</c:f>
              <c:numCache>
                <c:formatCode>General</c:formatCode>
                <c:ptCount val="8"/>
                <c:pt idx="0">
                  <c:v>100</c:v>
                </c:pt>
                <c:pt idx="1">
                  <c:v>289.21832884097034</c:v>
                </c:pt>
                <c:pt idx="2">
                  <c:v>595.25606469002696</c:v>
                </c:pt>
                <c:pt idx="3">
                  <c:v>936.76549865229117</c:v>
                </c:pt>
                <c:pt idx="4">
                  <c:v>562.42587601078162</c:v>
                </c:pt>
                <c:pt idx="5">
                  <c:v>1283.7735849056603</c:v>
                </c:pt>
                <c:pt idx="6">
                  <c:v>1095.1482479784368</c:v>
                </c:pt>
                <c:pt idx="7">
                  <c:v>1886.8463611859838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D8-B14B-996B-93B5C0CCAD28}"/>
            </c:ext>
          </c:extLst>
        </c:ser>
        <c:ser>
          <c:idx val="1"/>
          <c:order val="1"/>
          <c:tx>
            <c:strRef>
              <c:f>Sheet1!$E$12</c:f>
              <c:strCache>
                <c:ptCount val="1"/>
                <c:pt idx="0">
                  <c:v>INTC Index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Sheet1!$A$13:$A$20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Sheet1!$E$13:$E$20</c:f>
              <c:numCache>
                <c:formatCode>General</c:formatCode>
                <c:ptCount val="8"/>
                <c:pt idx="0">
                  <c:v>100</c:v>
                </c:pt>
                <c:pt idx="1">
                  <c:v>121.14849242674468</c:v>
                </c:pt>
                <c:pt idx="2">
                  <c:v>96.333695088000752</c:v>
                </c:pt>
                <c:pt idx="3">
                  <c:v>98.900580380314253</c:v>
                </c:pt>
                <c:pt idx="4">
                  <c:v>51.465106403057604</c:v>
                </c:pt>
                <c:pt idx="5">
                  <c:v>99.962251686877735</c:v>
                </c:pt>
                <c:pt idx="6">
                  <c:v>41.310810173170381</c:v>
                </c:pt>
                <c:pt idx="7">
                  <c:v>81.475015335252195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1D8-B14B-996B-93B5C0CCAD28}"/>
            </c:ext>
          </c:extLst>
        </c:ser>
        <c:ser>
          <c:idx val="2"/>
          <c:order val="2"/>
          <c:tx>
            <c:strRef>
              <c:f>Sheet1!$G$12</c:f>
              <c:strCache>
                <c:ptCount val="1"/>
                <c:pt idx="0">
                  <c:v>NVDA Index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cat>
            <c:numRef>
              <c:f>Sheet1!$A$13:$A$20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cat>
          <c:val>
            <c:numRef>
              <c:f>Sheet1!$G$13:$G$20</c:f>
              <c:numCache>
                <c:formatCode>General</c:formatCode>
                <c:ptCount val="8"/>
                <c:pt idx="0">
                  <c:v>100</c:v>
                </c:pt>
                <c:pt idx="1">
                  <c:v>176.83900282451185</c:v>
                </c:pt>
                <c:pt idx="2">
                  <c:v>396.95443939580002</c:v>
                </c:pt>
                <c:pt idx="3">
                  <c:v>902.94731671374177</c:v>
                </c:pt>
                <c:pt idx="4">
                  <c:v>447.23075033771335</c:v>
                </c:pt>
                <c:pt idx="5">
                  <c:v>1501.9034753776248</c:v>
                </c:pt>
                <c:pt idx="6">
                  <c:v>4037.8238978263539</c:v>
                </c:pt>
                <c:pt idx="7">
                  <c:v>5695.689549306152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1D8-B14B-996B-93B5C0CCAD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4169616"/>
        <c:axId val="463731776"/>
      </c:lineChart>
      <c:catAx>
        <c:axId val="464169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3731776"/>
        <c:crosses val="autoZero"/>
        <c:auto val="1"/>
        <c:lblAlgn val="ctr"/>
        <c:lblOffset val="100"/>
        <c:noMultiLvlLbl val="0"/>
      </c:catAx>
      <c:valAx>
        <c:axId val="463731776"/>
        <c:scaling>
          <c:logBase val="10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b="1"/>
                  <a:t>Index (2018</a:t>
                </a:r>
                <a:r>
                  <a:rPr lang="en-GB" b="1" baseline="0"/>
                  <a:t> = 100, Log Scale base=2)</a:t>
                </a:r>
                <a:endParaRPr lang="en-GB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169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682903</xdr:colOff>
      <xdr:row>4</xdr:row>
      <xdr:rowOff>77987</xdr:rowOff>
    </xdr:from>
    <xdr:to>
      <xdr:col>14</xdr:col>
      <xdr:colOff>267368</xdr:colOff>
      <xdr:row>26</xdr:row>
      <xdr:rowOff>23622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652489F-7B6C-3054-C66E-7B31BA63D2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D98A-EB0D-8B40-B00C-39D0554609AB}">
  <dimension ref="A1:G20"/>
  <sheetViews>
    <sheetView tabSelected="1" zoomScale="114" workbookViewId="0">
      <selection activeCell="G16" sqref="G1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</row>
    <row r="2" spans="1:7" x14ac:dyDescent="0.2">
      <c r="A2">
        <v>2018</v>
      </c>
      <c r="B2">
        <v>18.55</v>
      </c>
      <c r="C2">
        <v>211.93</v>
      </c>
      <c r="D2">
        <v>81.430000000000007</v>
      </c>
    </row>
    <row r="3" spans="1:7" x14ac:dyDescent="0.2">
      <c r="A3">
        <v>2019</v>
      </c>
      <c r="B3">
        <v>53.65</v>
      </c>
      <c r="C3">
        <v>256.75</v>
      </c>
      <c r="D3">
        <v>144</v>
      </c>
    </row>
    <row r="4" spans="1:7" x14ac:dyDescent="0.2">
      <c r="A4">
        <v>2020</v>
      </c>
      <c r="B4">
        <v>110.42</v>
      </c>
      <c r="C4">
        <v>204.16</v>
      </c>
      <c r="D4">
        <v>323.24</v>
      </c>
    </row>
    <row r="5" spans="1:7" x14ac:dyDescent="0.2">
      <c r="A5">
        <v>2021</v>
      </c>
      <c r="B5">
        <v>173.77</v>
      </c>
      <c r="C5">
        <v>209.6</v>
      </c>
      <c r="D5">
        <v>735.27</v>
      </c>
    </row>
    <row r="6" spans="1:7" x14ac:dyDescent="0.2">
      <c r="A6">
        <v>2022</v>
      </c>
      <c r="B6">
        <v>104.33</v>
      </c>
      <c r="C6">
        <v>109.07</v>
      </c>
      <c r="D6">
        <v>364.18</v>
      </c>
    </row>
    <row r="7" spans="1:7" x14ac:dyDescent="0.2">
      <c r="A7">
        <v>2023</v>
      </c>
      <c r="B7">
        <v>238.14</v>
      </c>
      <c r="C7">
        <v>211.85</v>
      </c>
      <c r="D7">
        <v>1223</v>
      </c>
    </row>
    <row r="8" spans="1:7" x14ac:dyDescent="0.2">
      <c r="A8">
        <v>2024</v>
      </c>
      <c r="B8">
        <v>203.15</v>
      </c>
      <c r="C8">
        <v>87.55</v>
      </c>
      <c r="D8">
        <v>3288</v>
      </c>
    </row>
    <row r="9" spans="1:7" x14ac:dyDescent="0.2">
      <c r="A9">
        <v>2025</v>
      </c>
      <c r="B9">
        <v>350.01</v>
      </c>
      <c r="C9">
        <v>172.67</v>
      </c>
      <c r="D9">
        <v>4638</v>
      </c>
    </row>
    <row r="12" spans="1:7" x14ac:dyDescent="0.2">
      <c r="A12" t="s">
        <v>0</v>
      </c>
      <c r="B12" t="s">
        <v>1</v>
      </c>
      <c r="C12" t="s">
        <v>4</v>
      </c>
      <c r="D12" t="s">
        <v>2</v>
      </c>
      <c r="E12" t="s">
        <v>5</v>
      </c>
      <c r="F12" t="s">
        <v>3</v>
      </c>
      <c r="G12" t="s">
        <v>6</v>
      </c>
    </row>
    <row r="13" spans="1:7" x14ac:dyDescent="0.2">
      <c r="A13">
        <v>2018</v>
      </c>
      <c r="B13">
        <v>18.55</v>
      </c>
      <c r="C13" s="1">
        <v>100</v>
      </c>
      <c r="D13">
        <v>211.93</v>
      </c>
      <c r="E13" s="2">
        <v>100</v>
      </c>
      <c r="F13">
        <v>81.430000000000007</v>
      </c>
      <c r="G13" s="2">
        <v>100</v>
      </c>
    </row>
    <row r="14" spans="1:7" x14ac:dyDescent="0.2">
      <c r="A14">
        <v>2019</v>
      </c>
      <c r="B14">
        <v>53.65</v>
      </c>
      <c r="C14" s="1">
        <f>((B14/$B$13)) * 100</f>
        <v>289.21832884097034</v>
      </c>
      <c r="D14">
        <v>256.75</v>
      </c>
      <c r="E14" s="1">
        <f t="shared" ref="E14:E15" si="0">(D14/$D$13) *100</f>
        <v>121.14849242674468</v>
      </c>
      <c r="F14">
        <v>144</v>
      </c>
      <c r="G14" s="1">
        <f>(F14/$F$13 )*100</f>
        <v>176.83900282451185</v>
      </c>
    </row>
    <row r="15" spans="1:7" x14ac:dyDescent="0.2">
      <c r="A15">
        <v>2020</v>
      </c>
      <c r="B15">
        <v>110.42</v>
      </c>
      <c r="C15" s="1">
        <f t="shared" ref="C15:C20" si="1">((B15/$B$13)) * 100</f>
        <v>595.25606469002696</v>
      </c>
      <c r="D15">
        <v>204.16</v>
      </c>
      <c r="E15" s="1">
        <f>(D15/$D$13) *100</f>
        <v>96.333695088000752</v>
      </c>
      <c r="F15">
        <v>323.24</v>
      </c>
      <c r="G15" s="1">
        <f t="shared" ref="G15:G20" si="2">(F15/$F$13 )*100</f>
        <v>396.95443939580002</v>
      </c>
    </row>
    <row r="16" spans="1:7" x14ac:dyDescent="0.2">
      <c r="A16">
        <v>2021</v>
      </c>
      <c r="B16">
        <v>173.77</v>
      </c>
      <c r="C16" s="1">
        <f t="shared" si="1"/>
        <v>936.76549865229117</v>
      </c>
      <c r="D16">
        <v>209.6</v>
      </c>
      <c r="E16" s="1">
        <f>(D16/$D$13) *100</f>
        <v>98.900580380314253</v>
      </c>
      <c r="F16">
        <v>735.27</v>
      </c>
      <c r="G16" s="1">
        <f t="shared" si="2"/>
        <v>902.94731671374177</v>
      </c>
    </row>
    <row r="17" spans="1:7" x14ac:dyDescent="0.2">
      <c r="A17">
        <v>2022</v>
      </c>
      <c r="B17">
        <v>104.33</v>
      </c>
      <c r="C17" s="1">
        <f t="shared" si="1"/>
        <v>562.42587601078162</v>
      </c>
      <c r="D17">
        <v>109.07</v>
      </c>
      <c r="E17" s="1">
        <f t="shared" ref="E17:E20" si="3">(D17/$D$13) *100</f>
        <v>51.465106403057604</v>
      </c>
      <c r="F17">
        <v>364.18</v>
      </c>
      <c r="G17" s="1">
        <f t="shared" si="2"/>
        <v>447.23075033771335</v>
      </c>
    </row>
    <row r="18" spans="1:7" x14ac:dyDescent="0.2">
      <c r="A18">
        <v>2023</v>
      </c>
      <c r="B18">
        <v>238.14</v>
      </c>
      <c r="C18" s="1">
        <f t="shared" si="1"/>
        <v>1283.7735849056603</v>
      </c>
      <c r="D18">
        <v>211.85</v>
      </c>
      <c r="E18" s="1">
        <f t="shared" si="3"/>
        <v>99.962251686877735</v>
      </c>
      <c r="F18">
        <v>1223</v>
      </c>
      <c r="G18" s="1">
        <f t="shared" si="2"/>
        <v>1501.9034753776248</v>
      </c>
    </row>
    <row r="19" spans="1:7" x14ac:dyDescent="0.2">
      <c r="A19">
        <v>2024</v>
      </c>
      <c r="B19">
        <v>203.15</v>
      </c>
      <c r="C19" s="1">
        <f t="shared" si="1"/>
        <v>1095.1482479784368</v>
      </c>
      <c r="D19">
        <v>87.55</v>
      </c>
      <c r="E19" s="1">
        <f t="shared" si="3"/>
        <v>41.310810173170381</v>
      </c>
      <c r="F19">
        <v>3288</v>
      </c>
      <c r="G19" s="1">
        <f t="shared" si="2"/>
        <v>4037.8238978263539</v>
      </c>
    </row>
    <row r="20" spans="1:7" x14ac:dyDescent="0.2">
      <c r="A20">
        <v>2025</v>
      </c>
      <c r="B20">
        <v>350.01</v>
      </c>
      <c r="C20" s="1">
        <f t="shared" si="1"/>
        <v>1886.8463611859838</v>
      </c>
      <c r="D20">
        <v>172.67</v>
      </c>
      <c r="E20" s="1">
        <f t="shared" si="3"/>
        <v>81.475015335252195</v>
      </c>
      <c r="F20">
        <v>4638</v>
      </c>
      <c r="G20" s="1">
        <f t="shared" si="2"/>
        <v>5695.689549306152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Milinkovic, Mack (UG - Economics)</dc:creator>
  <cp:lastModifiedBy>Milinkovic, Mack (UG - Economics)</cp:lastModifiedBy>
  <dcterms:created xsi:type="dcterms:W3CDTF">2026-05-02T11:25:49Z</dcterms:created>
  <dcterms:modified xsi:type="dcterms:W3CDTF">2026-05-08T10:10:30Z</dcterms:modified>
</cp:coreProperties>
</file>